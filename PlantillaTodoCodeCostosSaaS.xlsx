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<sst xmlns="http://schemas.openxmlformats.org/spreadsheetml/2006/main" count="45" uniqueCount="33">
  <si>
    <t>Costo Desarrollo Inicial</t>
  </si>
  <si>
    <t>Clientes Actuales</t>
  </si>
  <si>
    <t>Total:</t>
  </si>
  <si>
    <t>Fecha:</t>
  </si>
  <si>
    <t>Meses recuperación:</t>
  </si>
  <si>
    <t>Cantidad:</t>
  </si>
  <si>
    <t>Total mensual:</t>
  </si>
  <si>
    <t>Costo Base</t>
  </si>
  <si>
    <t>Costo base por cliente:</t>
  </si>
  <si>
    <t>Infraestructura</t>
  </si>
  <si>
    <t>Margen:</t>
  </si>
  <si>
    <t>Servidor VPS</t>
  </si>
  <si>
    <t>Costo Mensual Según Plan</t>
  </si>
  <si>
    <t>Redondeo</t>
  </si>
  <si>
    <t>Plan Básico:</t>
  </si>
  <si>
    <t>Mantenimiento y Soporte</t>
  </si>
  <si>
    <t>Plan intermedio:</t>
  </si>
  <si>
    <t>Cantidad de horas:</t>
  </si>
  <si>
    <t>Plan Pro:</t>
  </si>
  <si>
    <t>Precio por hora:</t>
  </si>
  <si>
    <t>Plan Enterprise:</t>
  </si>
  <si>
    <t>Costos Extras</t>
  </si>
  <si>
    <t>Horas extras:</t>
  </si>
  <si>
    <t>Costos Variables según cliente</t>
  </si>
  <si>
    <t>Otros:</t>
  </si>
  <si>
    <t>Según cantidad de usuarios</t>
  </si>
  <si>
    <t>Total Mensual según Plan</t>
  </si>
  <si>
    <t>Horas extras</t>
  </si>
  <si>
    <t>Cantidad de Horas extras:</t>
  </si>
  <si>
    <t>Precio por hora extra:</t>
  </si>
  <si>
    <t>Total horas extras:</t>
  </si>
  <si>
    <t>Margen de ganancia</t>
  </si>
  <si>
    <t>Porcentaje de margen: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</si>
</sst>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4" max="4" width="18.0"/>
  </cols>
  <sheetData>
    <row r="2">
      <c r="A2" s="1" t="s">
        <v>0</v>
      </c>
      <c r="D2" s="1" t="s">
        <v>1</v>
      </c>
    </row>
    <row r="3">
      <c r="A3" s="2" t="s">
        <v>2</v>
      </c>
      <c r="B3" s="2">
        <v>4000.0</v>
      </c>
      <c r="D3" s="2" t="s">
        <v>3</v>
      </c>
      <c r="E3" s="3">
        <v>46054.0</v>
      </c>
    </row>
    <row r="4">
      <c r="A4" s="2" t="s">
        <v>4</v>
      </c>
      <c r="B4" s="2">
        <v>24.0</v>
      </c>
      <c r="D4" s="2" t="s">
        <v>5</v>
      </c>
      <c r="E4" s="2">
        <v>10.0</v>
      </c>
    </row>
    <row r="6">
      <c r="A6" s="2" t="s">
        <v>6</v>
      </c>
      <c r="B6" s="4">
        <f>B3/B4</f>
        <v>166.6666667</v>
      </c>
      <c r="D6" s="1" t="s">
        <v>7</v>
      </c>
    </row>
    <row r="7">
      <c r="D7" s="2" t="s">
        <v>8</v>
      </c>
      <c r="E7" s="4">
        <f>((B6+B12)/E4)+B18</f>
        <v>48.66666667</v>
      </c>
    </row>
    <row r="8">
      <c r="A8" s="1" t="s">
        <v>9</v>
      </c>
      <c r="D8" s="2" t="s">
        <v>10</v>
      </c>
      <c r="E8" s="4">
        <f>E7*B34</f>
        <v>19.46666667</v>
      </c>
    </row>
    <row r="9">
      <c r="A9" s="2" t="s">
        <v>11</v>
      </c>
      <c r="B9" s="2">
        <v>80.0</v>
      </c>
    </row>
    <row r="10">
      <c r="D10" s="2" t="s">
        <v>2</v>
      </c>
      <c r="E10" s="4">
        <f>E7+E8</f>
        <v>68.13333333</v>
      </c>
    </row>
    <row r="12">
      <c r="A12" s="2" t="s">
        <v>2</v>
      </c>
      <c r="B12" s="4">
        <f>SUM(B9:B11)</f>
        <v>80</v>
      </c>
      <c r="D12" s="1" t="s">
        <v>12</v>
      </c>
      <c r="F12" s="5" t="s">
        <v>13</v>
      </c>
    </row>
    <row r="13">
      <c r="D13" s="2" t="s">
        <v>14</v>
      </c>
      <c r="E13" s="4">
        <f>E10+B22</f>
        <v>78.13333333</v>
      </c>
      <c r="F13" s="6">
        <f t="shared" ref="F13:F16" si="1">ROUNDUP(E13,0)</f>
        <v>79</v>
      </c>
    </row>
    <row r="14">
      <c r="A14" s="1" t="s">
        <v>15</v>
      </c>
      <c r="D14" s="2" t="s">
        <v>16</v>
      </c>
      <c r="E14" s="4">
        <f>E10+B23</f>
        <v>93.13333333</v>
      </c>
      <c r="F14" s="6">
        <f t="shared" si="1"/>
        <v>94</v>
      </c>
    </row>
    <row r="15">
      <c r="A15" s="2" t="s">
        <v>17</v>
      </c>
      <c r="B15" s="2">
        <v>3.0</v>
      </c>
      <c r="D15" s="2" t="s">
        <v>18</v>
      </c>
      <c r="E15" s="4">
        <f>E10+B24</f>
        <v>118.1333333</v>
      </c>
      <c r="F15" s="6">
        <f t="shared" si="1"/>
        <v>119</v>
      </c>
    </row>
    <row r="16">
      <c r="A16" s="2" t="s">
        <v>19</v>
      </c>
      <c r="B16" s="2">
        <v>8.0</v>
      </c>
      <c r="D16" s="2" t="s">
        <v>20</v>
      </c>
      <c r="E16" s="4">
        <f>E10+B25</f>
        <v>218.1333333</v>
      </c>
      <c r="F16" s="6">
        <f t="shared" si="1"/>
        <v>219</v>
      </c>
    </row>
    <row r="18">
      <c r="A18" s="2" t="s">
        <v>2</v>
      </c>
      <c r="B18" s="4">
        <f>B15*B16</f>
        <v>24</v>
      </c>
      <c r="D18" s="1" t="s">
        <v>21</v>
      </c>
    </row>
    <row r="19">
      <c r="D19" s="2" t="s">
        <v>22</v>
      </c>
      <c r="E19" s="2">
        <f>B31</f>
        <v>0</v>
      </c>
    </row>
    <row r="20">
      <c r="A20" s="1" t="s">
        <v>23</v>
      </c>
      <c r="D20" s="2" t="s">
        <v>24</v>
      </c>
      <c r="E20" s="2">
        <v>0.0</v>
      </c>
    </row>
    <row r="21">
      <c r="A21" s="7" t="s">
        <v>25</v>
      </c>
    </row>
    <row r="22">
      <c r="A22" s="2" t="s">
        <v>14</v>
      </c>
      <c r="B22" s="2">
        <v>10.0</v>
      </c>
      <c r="D22" s="2" t="s">
        <v>2</v>
      </c>
      <c r="E22" s="4">
        <f>E19+E20</f>
        <v>0</v>
      </c>
    </row>
    <row r="23">
      <c r="A23" s="2" t="s">
        <v>16</v>
      </c>
      <c r="B23" s="2">
        <v>25.0</v>
      </c>
    </row>
    <row r="24">
      <c r="A24" s="2" t="s">
        <v>18</v>
      </c>
      <c r="B24" s="2">
        <v>50.0</v>
      </c>
      <c r="D24" s="8" t="s">
        <v>26</v>
      </c>
    </row>
    <row r="25">
      <c r="A25" s="2" t="s">
        <v>20</v>
      </c>
      <c r="B25" s="2">
        <v>150.0</v>
      </c>
      <c r="D25" s="2" t="s">
        <v>14</v>
      </c>
      <c r="E25" s="4">
        <f>F13+E22</f>
        <v>79</v>
      </c>
    </row>
    <row r="26">
      <c r="D26" s="2" t="s">
        <v>16</v>
      </c>
      <c r="E26" s="4">
        <f>F14+E22</f>
        <v>94</v>
      </c>
    </row>
    <row r="27">
      <c r="A27" s="7" t="s">
        <v>27</v>
      </c>
      <c r="D27" s="2" t="s">
        <v>18</v>
      </c>
      <c r="E27" s="4">
        <f>F15+E22</f>
        <v>119</v>
      </c>
    </row>
    <row r="28">
      <c r="A28" s="2" t="s">
        <v>28</v>
      </c>
      <c r="B28" s="2">
        <v>0.0</v>
      </c>
      <c r="D28" s="2" t="s">
        <v>20</v>
      </c>
      <c r="E28" s="4">
        <f>F16+E22</f>
        <v>219</v>
      </c>
    </row>
    <row r="29">
      <c r="A29" s="2" t="s">
        <v>29</v>
      </c>
      <c r="B29" s="2">
        <v>12.0</v>
      </c>
    </row>
    <row r="31">
      <c r="A31" s="2" t="s">
        <v>30</v>
      </c>
      <c r="B31" s="4">
        <f>B28*B29</f>
        <v>0</v>
      </c>
    </row>
    <row r="33">
      <c r="A33" s="1" t="s">
        <v>31</v>
      </c>
    </row>
    <row r="34">
      <c r="A34" s="2" t="s">
        <v>32</v>
      </c>
      <c r="B34" s="9">
        <v>0.4</v>
      </c>
    </row>
  </sheetData>
  <mergeCells count="12">
    <mergeCell ref="A20:B20"/>
    <mergeCell ref="A21:B21"/>
    <mergeCell ref="D24:E24"/>
    <mergeCell ref="A27:B27"/>
    <mergeCell ref="A33:B33"/>
    <mergeCell ref="A2:B2"/>
    <mergeCell ref="D2:E2"/>
    <mergeCell ref="D6:E6"/>
    <mergeCell ref="A8:B8"/>
    <mergeCell ref="D12:E12"/>
    <mergeCell ref="A14:B14"/>
    <mergeCell ref="D18:E18"/>
  </mergeCells>
  <drawing r:id="rId1"/>
</worksheet>
</file>